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DO ROI" sheetId="1" r:id="rId4"/>
    <sheet state="visible" name="PREVISIBILIDADE DE VENDAS" sheetId="2" r:id="rId5"/>
    <sheet state="visible" name="CONTROLE CLIENTE" sheetId="3" r:id="rId6"/>
  </sheets>
  <definedNames/>
  <calcPr/>
  <extLst>
    <ext uri="GoogleSheetsCustomDataVersion2">
      <go:sheetsCustomData xmlns:go="http://customooxmlschemas.google.com/" r:id="rId7" roundtripDataChecksum="6y1lPqMOZo1/vC5bJHlYaCc1AhzlI2LLolgeDyXLOSY="/>
    </ext>
  </extLst>
</workbook>
</file>

<file path=xl/sharedStrings.xml><?xml version="1.0" encoding="utf-8"?>
<sst xmlns="http://schemas.openxmlformats.org/spreadsheetml/2006/main" count="59" uniqueCount="32">
  <si>
    <t>CAMPANHAS</t>
  </si>
  <si>
    <t>INVESTIMENTO</t>
  </si>
  <si>
    <t>LEADS CAPTADOS</t>
  </si>
  <si>
    <t>CUSTO POR LEAD</t>
  </si>
  <si>
    <t>LUCRO</t>
  </si>
  <si>
    <t>LUCRO SEM PUBLICIDADE</t>
  </si>
  <si>
    <t>ROI</t>
  </si>
  <si>
    <t>CÁLCULO DO ROI</t>
  </si>
  <si>
    <t>% MARGEM DE LUCRO</t>
  </si>
  <si>
    <t>TRABALHISTA</t>
  </si>
  <si>
    <t>PREVIDENCIÁRIO</t>
  </si>
  <si>
    <t>CIVEL</t>
  </si>
  <si>
    <t>GERAL</t>
  </si>
  <si>
    <t>Você pode mensurar o ROI por Campanha ou Grupo de anúncio!</t>
  </si>
  <si>
    <t>CONTATOS RECEBIDOS</t>
  </si>
  <si>
    <t>PROPOSTAS GERADAS</t>
  </si>
  <si>
    <t>TX. DE CONVERSÃO CONTATO</t>
  </si>
  <si>
    <t>VENDAS FECHADAS</t>
  </si>
  <si>
    <t>TX. DE VENDAS</t>
  </si>
  <si>
    <t>INV. EM ANÚNCIOS</t>
  </si>
  <si>
    <t>CUSTO POR VENDA (CAC)</t>
  </si>
  <si>
    <t>Ticket Média</t>
  </si>
  <si>
    <t>Melhorias no Atenidmento</t>
  </si>
  <si>
    <t xml:space="preserve">Fluxo de funil de Vendas </t>
  </si>
  <si>
    <t>Persuasão</t>
  </si>
  <si>
    <t>Scripts de Atenidmento</t>
  </si>
  <si>
    <t>Atrenidmento Rápido]</t>
  </si>
  <si>
    <t>Basta Preencher os Valores dos Leads Captados e Conversão que automaticamento o Custo por Lead e Custo por Conversão será calculado</t>
  </si>
  <si>
    <t>DATA</t>
  </si>
  <si>
    <t>CONVERSÃO FINAL</t>
  </si>
  <si>
    <t>VALOR INVESTIDO</t>
  </si>
  <si>
    <t>CUSTO POR CONVERSÃO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</si>
</sst>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0.0%"/>
    <numFmt numFmtId="166" formatCode="dd/mm/yy"/>
  </numFmts>
  <fonts count="8">
    <font>
      <sz val="10.0"/>
      <color rgb="FF000000"/>
      <name val="Arial"/>
      <scheme val="minor"/>
    </font>
    <font>
      <b/>
      <sz val="16.0"/>
      <color rgb="FF008ADD"/>
      <name val="Lexend"/>
    </font>
    <font>
      <b/>
      <sz val="11.0"/>
      <color theme="1"/>
      <name val="Lexend"/>
    </font>
    <font>
      <b/>
      <sz val="11.0"/>
      <color rgb="FFFFFFFF"/>
      <name val="Lexend"/>
    </font>
    <font>
      <sz val="11.0"/>
      <color theme="1"/>
      <name val="Lexend"/>
    </font>
    <font>
      <b/>
      <sz val="12.0"/>
      <color theme="1"/>
      <name val="Lexend"/>
    </font>
    <font>
      <b/>
      <sz val="11.0"/>
      <color rgb="FF000000"/>
      <name val="Lexend"/>
    </font>
    <font/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8ADD"/>
        <bgColor rgb="FF008ADD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3" fontId="3" numFmtId="0" xfId="0" applyAlignment="1" applyFill="1" applyFont="1">
      <alignment horizontal="center"/>
    </xf>
    <xf borderId="0" fillId="4" fontId="2" numFmtId="0" xfId="0" applyAlignment="1" applyFill="1" applyFont="1">
      <alignment horizontal="center"/>
    </xf>
    <xf borderId="0" fillId="5" fontId="3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/>
    </xf>
    <xf borderId="1" fillId="7" fontId="6" numFmtId="0" xfId="0" applyAlignment="1" applyBorder="1" applyFill="1" applyFont="1">
      <alignment horizontal="center" vertical="center"/>
    </xf>
    <xf borderId="2" fillId="0" fontId="7" numFmtId="0" xfId="0" applyBorder="1" applyFont="1"/>
    <xf borderId="0" fillId="0" fontId="4" numFmtId="166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6800" cy="15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7.13"/>
    <col customWidth="1" min="3" max="3" width="19.38"/>
    <col customWidth="1" min="4" max="4" width="18.88"/>
    <col customWidth="1" min="5" max="5" width="13.75"/>
    <col customWidth="1" min="6" max="6" width="28.0"/>
    <col customWidth="1" min="7" max="7" width="11.38"/>
    <col customWidth="1" min="8" max="8" width="18.75"/>
    <col customWidth="1" min="9" max="9" width="24.0"/>
  </cols>
  <sheetData>
    <row r="1" ht="42.0" customHeight="1">
      <c r="A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0</v>
      </c>
      <c r="B2" s="4" t="s">
        <v>1</v>
      </c>
      <c r="C2" s="5" t="s">
        <v>2</v>
      </c>
      <c r="D2" s="6" t="s">
        <v>3</v>
      </c>
      <c r="E2" s="3" t="s">
        <v>4</v>
      </c>
      <c r="F2" s="4" t="s">
        <v>5</v>
      </c>
      <c r="G2" s="5" t="s">
        <v>6</v>
      </c>
      <c r="H2" s="6" t="s">
        <v>7</v>
      </c>
      <c r="I2" s="3" t="s">
        <v>8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8" t="s">
        <v>9</v>
      </c>
      <c r="B3" s="9">
        <v>880.0</v>
      </c>
      <c r="C3" s="8">
        <v>68.0</v>
      </c>
      <c r="D3" s="9">
        <f t="shared" ref="D3:D6" si="1">B3/C3</f>
        <v>12.94117647</v>
      </c>
      <c r="E3" s="9">
        <v>8640.0</v>
      </c>
      <c r="F3" s="9">
        <f t="shared" ref="F3:F6" si="2">E3-B3</f>
        <v>7760</v>
      </c>
      <c r="G3" s="10">
        <f t="shared" ref="G3:G6" si="3">F3/B3</f>
        <v>8.818181818</v>
      </c>
      <c r="H3" s="10">
        <f t="shared" ref="H3:H6" si="4">G3/100</f>
        <v>0.08818181818</v>
      </c>
      <c r="I3" s="11">
        <f t="shared" ref="I3:I6" si="5">H3*100</f>
        <v>8.818181818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 t="s">
        <v>10</v>
      </c>
      <c r="B4" s="9">
        <v>1200.0</v>
      </c>
      <c r="C4" s="8">
        <v>85.0</v>
      </c>
      <c r="D4" s="9">
        <f t="shared" si="1"/>
        <v>14.11764706</v>
      </c>
      <c r="E4" s="9">
        <v>10000.0</v>
      </c>
      <c r="F4" s="9">
        <f t="shared" si="2"/>
        <v>8800</v>
      </c>
      <c r="G4" s="10">
        <f t="shared" si="3"/>
        <v>7.333333333</v>
      </c>
      <c r="H4" s="10">
        <f t="shared" si="4"/>
        <v>0.07333333333</v>
      </c>
      <c r="I4" s="11">
        <f t="shared" si="5"/>
        <v>7.333333333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 t="s">
        <v>11</v>
      </c>
      <c r="B5" s="9">
        <f>SUMIF('CONTROLE CLIENTE'!B:B, A5, 'CONTROLE CLIENTE'!E:E)</f>
        <v>2000</v>
      </c>
      <c r="C5" s="8">
        <f>SUMIF('CONTROLE CLIENTE'!B:B, A5, 'CONTROLE CLIENTE'!C:C)</f>
        <v>40</v>
      </c>
      <c r="D5" s="9">
        <f t="shared" si="1"/>
        <v>50</v>
      </c>
      <c r="E5" s="9">
        <v>10000.0</v>
      </c>
      <c r="F5" s="9">
        <f t="shared" si="2"/>
        <v>8000</v>
      </c>
      <c r="G5" s="10">
        <f t="shared" si="3"/>
        <v>4</v>
      </c>
      <c r="H5" s="10">
        <f t="shared" si="4"/>
        <v>0.04</v>
      </c>
      <c r="I5" s="11">
        <f t="shared" si="5"/>
        <v>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 t="s">
        <v>12</v>
      </c>
      <c r="B6" s="9">
        <f>SUMIF('CONTROLE CLIENTE'!B:B, A6, 'CONTROLE CLIENTE'!E:E)</f>
        <v>2000</v>
      </c>
      <c r="C6" s="8">
        <f>SUMIF('CONTROLE CLIENTE'!B:B, A6, 'CONTROLE CLIENTE'!C:C)</f>
        <v>40</v>
      </c>
      <c r="D6" s="9">
        <f t="shared" si="1"/>
        <v>50</v>
      </c>
      <c r="E6" s="9">
        <v>10000.0</v>
      </c>
      <c r="F6" s="9">
        <f t="shared" si="2"/>
        <v>8000</v>
      </c>
      <c r="G6" s="10">
        <f t="shared" si="3"/>
        <v>4</v>
      </c>
      <c r="H6" s="10">
        <f t="shared" si="4"/>
        <v>0.04</v>
      </c>
      <c r="I6" s="11">
        <f t="shared" si="5"/>
        <v>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1.5" customHeight="1">
      <c r="A7" s="12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/>
      <c r="B8" s="9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9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9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7:I7"/>
  </mergeCells>
  <dataValidations>
    <dataValidation type="list" allowBlank="1" showErrorMessage="1" sqref="A3:A6">
      <formula1>"TRABALHISTA,PREVIDENCIÁRIO,CIVEL,GERAL"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3.25"/>
    <col customWidth="1" min="3" max="3" width="22.0"/>
    <col customWidth="1" min="4" max="4" width="29.38"/>
    <col customWidth="1" min="5" max="5" width="19.5"/>
    <col customWidth="1" min="6" max="7" width="19.63"/>
    <col customWidth="1" min="8" max="8" width="25.0"/>
    <col customWidth="1" min="9" max="9" width="22.13"/>
  </cols>
  <sheetData>
    <row r="1" ht="15.75" customHeight="1">
      <c r="A1" s="7" t="s">
        <v>0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18</v>
      </c>
      <c r="G1" s="7" t="s">
        <v>19</v>
      </c>
      <c r="H1" s="7" t="s">
        <v>20</v>
      </c>
      <c r="I1" s="7" t="s">
        <v>21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5.75" customHeight="1">
      <c r="A2" s="8" t="s">
        <v>12</v>
      </c>
      <c r="B2" s="13">
        <v>900.0</v>
      </c>
      <c r="C2" s="13">
        <v>850.0</v>
      </c>
      <c r="D2" s="14">
        <f t="shared" ref="D2:D5" si="1">C2/B2</f>
        <v>0.9444444444</v>
      </c>
      <c r="E2" s="13"/>
      <c r="F2" s="14">
        <f t="shared" ref="F2:F5" si="2">E2/C2</f>
        <v>0</v>
      </c>
      <c r="G2" s="9">
        <f>'ANÁLISE DO ROI'!B3</f>
        <v>880</v>
      </c>
      <c r="H2" s="9" t="str">
        <f t="shared" ref="H2:H5" si="3">G2/E2</f>
        <v>#DIV/0!</v>
      </c>
      <c r="I2" s="13">
        <v>2000.0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8" t="s">
        <v>12</v>
      </c>
      <c r="B3" s="8">
        <v>85.0</v>
      </c>
      <c r="C3" s="8">
        <v>39.0</v>
      </c>
      <c r="D3" s="14">
        <f t="shared" si="1"/>
        <v>0.4588235294</v>
      </c>
      <c r="E3" s="8">
        <v>16.0</v>
      </c>
      <c r="F3" s="14">
        <f t="shared" si="2"/>
        <v>0.4102564103</v>
      </c>
      <c r="G3" s="9">
        <v>1100.0</v>
      </c>
      <c r="H3" s="9">
        <f t="shared" si="3"/>
        <v>68.75</v>
      </c>
      <c r="I3" s="8">
        <v>720.0</v>
      </c>
      <c r="J3" s="8">
        <f>E3*I3</f>
        <v>11520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5.75" customHeight="1">
      <c r="A4" s="8" t="s">
        <v>12</v>
      </c>
      <c r="B4" s="8">
        <f>'ANÁLISE DO ROI'!C5</f>
        <v>40</v>
      </c>
      <c r="C4" s="8">
        <v>15.0</v>
      </c>
      <c r="D4" s="14">
        <f t="shared" si="1"/>
        <v>0.375</v>
      </c>
      <c r="E4" s="8">
        <v>14.0</v>
      </c>
      <c r="F4" s="14">
        <f t="shared" si="2"/>
        <v>0.9333333333</v>
      </c>
      <c r="G4" s="9">
        <f>'ANÁLISE DO ROI'!B5</f>
        <v>2000</v>
      </c>
      <c r="H4" s="9">
        <f t="shared" si="3"/>
        <v>142.8571429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5.75" customHeight="1">
      <c r="A5" s="8" t="s">
        <v>12</v>
      </c>
      <c r="B5" s="8">
        <f>'ANÁLISE DO ROI'!C6</f>
        <v>40</v>
      </c>
      <c r="C5" s="8">
        <v>20.0</v>
      </c>
      <c r="D5" s="14">
        <f t="shared" si="1"/>
        <v>0.5</v>
      </c>
      <c r="E5" s="8">
        <v>17.0</v>
      </c>
      <c r="F5" s="14">
        <f t="shared" si="2"/>
        <v>0.85</v>
      </c>
      <c r="G5" s="9">
        <f>'ANÁLISE DO ROI'!B6</f>
        <v>2000</v>
      </c>
      <c r="H5" s="9">
        <f t="shared" si="3"/>
        <v>117.6470588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5.75" customHeight="1">
      <c r="A7" s="8"/>
      <c r="B7" s="13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5.75" customHeight="1">
      <c r="A8" s="8"/>
      <c r="B8" s="13" t="s">
        <v>23</v>
      </c>
      <c r="C8" s="13" t="s">
        <v>24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5.75" customHeight="1">
      <c r="A9" s="8"/>
      <c r="B9" s="13" t="s">
        <v>25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5.75" customHeight="1">
      <c r="A10" s="8"/>
      <c r="B10" s="13" t="s">
        <v>26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5">
      <formula1>"TRABALHISTA,PREVIDENCIÁRIO,CIVEL,GERAL"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0"/>
    <col customWidth="1" min="3" max="3" width="19.38"/>
    <col customWidth="1" min="4" max="4" width="20.75"/>
    <col customWidth="1" min="5" max="5" width="20.5"/>
    <col customWidth="1" min="6" max="6" width="18.88"/>
    <col customWidth="1" min="7" max="7" width="26.25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ht="31.5" customHeight="1">
      <c r="A2" s="15" t="s">
        <v>27</v>
      </c>
      <c r="B2" s="16"/>
      <c r="C2" s="16"/>
      <c r="D2" s="16"/>
      <c r="E2" s="16"/>
      <c r="F2" s="16"/>
      <c r="G2" s="1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ht="15.75" customHeight="1">
      <c r="A3" s="3" t="s">
        <v>28</v>
      </c>
      <c r="B3" s="4" t="s">
        <v>0</v>
      </c>
      <c r="C3" s="5" t="s">
        <v>2</v>
      </c>
      <c r="D3" s="6" t="s">
        <v>29</v>
      </c>
      <c r="E3" s="3" t="s">
        <v>30</v>
      </c>
      <c r="F3" s="4" t="s">
        <v>3</v>
      </c>
      <c r="G3" s="5" t="s">
        <v>31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15.75" customHeight="1">
      <c r="A4" s="17">
        <v>46023.0</v>
      </c>
      <c r="B4" s="8" t="s">
        <v>9</v>
      </c>
      <c r="C4" s="8">
        <v>10.0</v>
      </c>
      <c r="D4" s="8">
        <v>5.0</v>
      </c>
      <c r="E4" s="9">
        <v>500.0</v>
      </c>
      <c r="F4" s="9">
        <f t="shared" ref="F4:F22" si="1">E4/C4</f>
        <v>50</v>
      </c>
      <c r="G4" s="9">
        <f t="shared" ref="G4:G22" si="2">E4/D4</f>
        <v>100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5.75" customHeight="1">
      <c r="A5" s="17">
        <v>46023.0</v>
      </c>
      <c r="B5" s="8" t="s">
        <v>10</v>
      </c>
      <c r="C5" s="8">
        <v>10.0</v>
      </c>
      <c r="D5" s="8">
        <v>5.0</v>
      </c>
      <c r="E5" s="9">
        <v>500.0</v>
      </c>
      <c r="F5" s="9">
        <f t="shared" si="1"/>
        <v>50</v>
      </c>
      <c r="G5" s="9">
        <f t="shared" si="2"/>
        <v>100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5.75" customHeight="1">
      <c r="A6" s="17">
        <v>46023.0</v>
      </c>
      <c r="B6" s="8" t="s">
        <v>11</v>
      </c>
      <c r="C6" s="8">
        <v>10.0</v>
      </c>
      <c r="D6" s="8">
        <v>5.0</v>
      </c>
      <c r="E6" s="9">
        <v>500.0</v>
      </c>
      <c r="F6" s="9">
        <f t="shared" si="1"/>
        <v>50</v>
      </c>
      <c r="G6" s="9">
        <f t="shared" si="2"/>
        <v>100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5.75" customHeight="1">
      <c r="A7" s="17">
        <v>46023.0</v>
      </c>
      <c r="B7" s="8" t="s">
        <v>12</v>
      </c>
      <c r="C7" s="8">
        <v>10.0</v>
      </c>
      <c r="D7" s="8">
        <v>5.0</v>
      </c>
      <c r="E7" s="9">
        <v>500.0</v>
      </c>
      <c r="F7" s="9">
        <f t="shared" si="1"/>
        <v>50</v>
      </c>
      <c r="G7" s="9">
        <f t="shared" si="2"/>
        <v>100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15.75" customHeight="1">
      <c r="A8" s="17">
        <v>46025.0</v>
      </c>
      <c r="B8" s="8" t="s">
        <v>10</v>
      </c>
      <c r="C8" s="8">
        <v>10.0</v>
      </c>
      <c r="D8" s="8">
        <v>5.0</v>
      </c>
      <c r="E8" s="9">
        <v>500.0</v>
      </c>
      <c r="F8" s="9">
        <f t="shared" si="1"/>
        <v>50</v>
      </c>
      <c r="G8" s="9">
        <f t="shared" si="2"/>
        <v>100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5.75" customHeight="1">
      <c r="A9" s="17">
        <v>46025.0</v>
      </c>
      <c r="B9" s="8" t="s">
        <v>9</v>
      </c>
      <c r="C9" s="8">
        <v>10.0</v>
      </c>
      <c r="D9" s="8">
        <v>5.0</v>
      </c>
      <c r="E9" s="9">
        <v>500.0</v>
      </c>
      <c r="F9" s="9">
        <f t="shared" si="1"/>
        <v>50</v>
      </c>
      <c r="G9" s="9">
        <f t="shared" si="2"/>
        <v>100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5.75" customHeight="1">
      <c r="A10" s="17">
        <v>46026.0</v>
      </c>
      <c r="B10" s="8" t="s">
        <v>9</v>
      </c>
      <c r="C10" s="8">
        <v>10.0</v>
      </c>
      <c r="D10" s="8">
        <v>5.0</v>
      </c>
      <c r="E10" s="9">
        <v>500.0</v>
      </c>
      <c r="F10" s="9">
        <f t="shared" si="1"/>
        <v>50</v>
      </c>
      <c r="G10" s="9">
        <f t="shared" si="2"/>
        <v>100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5.75" customHeight="1">
      <c r="A11" s="17">
        <v>46027.0</v>
      </c>
      <c r="B11" s="8" t="s">
        <v>10</v>
      </c>
      <c r="C11" s="8">
        <v>10.0</v>
      </c>
      <c r="D11" s="8">
        <v>5.0</v>
      </c>
      <c r="E11" s="9">
        <v>500.0</v>
      </c>
      <c r="F11" s="9">
        <f t="shared" si="1"/>
        <v>50</v>
      </c>
      <c r="G11" s="9">
        <f t="shared" si="2"/>
        <v>100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5.75" customHeight="1">
      <c r="A12" s="17">
        <v>46027.0</v>
      </c>
      <c r="B12" s="8" t="s">
        <v>11</v>
      </c>
      <c r="C12" s="8">
        <v>10.0</v>
      </c>
      <c r="D12" s="8">
        <v>5.0</v>
      </c>
      <c r="E12" s="9">
        <v>500.0</v>
      </c>
      <c r="F12" s="9">
        <f t="shared" si="1"/>
        <v>50</v>
      </c>
      <c r="G12" s="9">
        <f t="shared" si="2"/>
        <v>100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5.75" customHeight="1">
      <c r="A13" s="17">
        <v>46027.0</v>
      </c>
      <c r="B13" s="8" t="s">
        <v>9</v>
      </c>
      <c r="C13" s="8">
        <v>10.0</v>
      </c>
      <c r="D13" s="8">
        <v>5.0</v>
      </c>
      <c r="E13" s="9">
        <v>500.0</v>
      </c>
      <c r="F13" s="9">
        <f t="shared" si="1"/>
        <v>50</v>
      </c>
      <c r="G13" s="9">
        <f t="shared" si="2"/>
        <v>100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5.75" customHeight="1">
      <c r="A14" s="17">
        <v>46028.0</v>
      </c>
      <c r="B14" s="8" t="s">
        <v>11</v>
      </c>
      <c r="C14" s="8">
        <v>10.0</v>
      </c>
      <c r="D14" s="8">
        <v>5.0</v>
      </c>
      <c r="E14" s="9">
        <v>500.0</v>
      </c>
      <c r="F14" s="9">
        <f t="shared" si="1"/>
        <v>50</v>
      </c>
      <c r="G14" s="9">
        <f t="shared" si="2"/>
        <v>100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5.75" customHeight="1">
      <c r="A15" s="17">
        <v>46028.0</v>
      </c>
      <c r="B15" s="8" t="s">
        <v>12</v>
      </c>
      <c r="C15" s="8">
        <v>10.0</v>
      </c>
      <c r="D15" s="8">
        <v>5.0</v>
      </c>
      <c r="E15" s="9">
        <v>500.0</v>
      </c>
      <c r="F15" s="9">
        <f t="shared" si="1"/>
        <v>50</v>
      </c>
      <c r="G15" s="9">
        <f t="shared" si="2"/>
        <v>100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5.75" customHeight="1">
      <c r="A16" s="17">
        <v>46029.0</v>
      </c>
      <c r="B16" s="8" t="s">
        <v>10</v>
      </c>
      <c r="C16" s="8">
        <v>10.0</v>
      </c>
      <c r="D16" s="8">
        <v>5.0</v>
      </c>
      <c r="E16" s="9">
        <v>500.0</v>
      </c>
      <c r="F16" s="9">
        <f t="shared" si="1"/>
        <v>50</v>
      </c>
      <c r="G16" s="9">
        <f t="shared" si="2"/>
        <v>100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5.75" customHeight="1">
      <c r="A17" s="17">
        <v>46029.0</v>
      </c>
      <c r="B17" s="8" t="s">
        <v>10</v>
      </c>
      <c r="C17" s="8">
        <v>10.0</v>
      </c>
      <c r="D17" s="8">
        <v>5.0</v>
      </c>
      <c r="E17" s="9">
        <v>500.0</v>
      </c>
      <c r="F17" s="9">
        <f t="shared" si="1"/>
        <v>50</v>
      </c>
      <c r="G17" s="9">
        <f t="shared" si="2"/>
        <v>100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5.75" customHeight="1">
      <c r="A18" s="17">
        <v>46029.0</v>
      </c>
      <c r="B18" s="8" t="s">
        <v>10</v>
      </c>
      <c r="C18" s="8">
        <v>10.0</v>
      </c>
      <c r="D18" s="8">
        <v>5.0</v>
      </c>
      <c r="E18" s="9">
        <v>500.0</v>
      </c>
      <c r="F18" s="9">
        <f t="shared" si="1"/>
        <v>50</v>
      </c>
      <c r="G18" s="9">
        <f t="shared" si="2"/>
        <v>100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5.75" customHeight="1">
      <c r="A19" s="17">
        <v>46030.0</v>
      </c>
      <c r="B19" s="8" t="s">
        <v>9</v>
      </c>
      <c r="C19" s="8">
        <v>10.0</v>
      </c>
      <c r="D19" s="8">
        <v>5.0</v>
      </c>
      <c r="E19" s="9">
        <v>500.0</v>
      </c>
      <c r="F19" s="9">
        <f t="shared" si="1"/>
        <v>50</v>
      </c>
      <c r="G19" s="9">
        <f t="shared" si="2"/>
        <v>100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5.75" customHeight="1">
      <c r="A20" s="17">
        <v>46030.0</v>
      </c>
      <c r="B20" s="8" t="s">
        <v>11</v>
      </c>
      <c r="C20" s="8">
        <v>10.0</v>
      </c>
      <c r="D20" s="8">
        <v>5.0</v>
      </c>
      <c r="E20" s="9">
        <v>500.0</v>
      </c>
      <c r="F20" s="9">
        <f t="shared" si="1"/>
        <v>50</v>
      </c>
      <c r="G20" s="9">
        <f t="shared" si="2"/>
        <v>100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17">
        <v>46031.0</v>
      </c>
      <c r="B21" s="8" t="s">
        <v>12</v>
      </c>
      <c r="C21" s="8">
        <v>10.0</v>
      </c>
      <c r="D21" s="8">
        <v>5.0</v>
      </c>
      <c r="E21" s="9">
        <v>500.0</v>
      </c>
      <c r="F21" s="9">
        <f t="shared" si="1"/>
        <v>50</v>
      </c>
      <c r="G21" s="9">
        <f t="shared" si="2"/>
        <v>100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17">
        <v>46031.0</v>
      </c>
      <c r="B22" s="8" t="s">
        <v>12</v>
      </c>
      <c r="C22" s="8">
        <v>10.0</v>
      </c>
      <c r="D22" s="8">
        <v>5.0</v>
      </c>
      <c r="E22" s="9">
        <v>500.0</v>
      </c>
      <c r="F22" s="9">
        <f t="shared" si="1"/>
        <v>50</v>
      </c>
      <c r="G22" s="9">
        <f t="shared" si="2"/>
        <v>100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dataValidations>
    <dataValidation type="list" allowBlank="1" showErrorMessage="1" sqref="B4:B22">
      <formula1>"TRABALHISTA,PREVIDENCIÁRIO,CIVEL,GERAL"</formula1>
    </dataValidation>
  </dataValidations>
  <drawing r:id="rId1"/>
</worksheet>
</file>